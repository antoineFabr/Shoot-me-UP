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52png\Documents\GitHub\Shoot-me-UP\"/>
    </mc:Choice>
  </mc:AlternateContent>
  <xr:revisionPtr revIDLastSave="0" documentId="13_ncr:1_{0AB291CF-7380-4FE9-97B7-6C6D59EDC381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<sst xmlns="http://schemas.openxmlformats.org/spreadsheetml/2006/main" count="217" uniqueCount="66">
  <si>
    <t>Module :</t>
  </si>
  <si>
    <t>Prénom - nom :</t>
  </si>
  <si>
    <t>Antoine Fabre</t>
  </si>
  <si>
    <t>Classe :</t>
  </si>
  <si>
    <t>Cid2B</t>
  </si>
  <si>
    <t>Lieu :</t>
  </si>
  <si>
    <t>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</si>
  <si>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</si>
  <si>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</si>
  <si>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</si>
  <si>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</si>
  <si>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</si>
  <si>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</si>
  <si>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</si>
  <si>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</si>
  <si>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</si>
  <si>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alimenter le projet sur IceScrum</t>
  </si>
  <si>
    <t>travailler le rapport</t>
  </si>
  <si>
    <t xml:space="preserve">travailler le journal de travail  </t>
  </si>
  <si>
    <t>faire le MCD</t>
  </si>
  <si>
    <t>Fair le MLD</t>
  </si>
  <si>
    <t>travailler l'UI</t>
  </si>
  <si>
    <t>travailler l'UX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</si>
  <si>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</si>
  <si>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</si>
  <si>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</si>
  <si>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</si>
  <si>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</si>
  <si>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</si>
  <si>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</si>
  <si>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</si>
  <si>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</si>
  <si>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</si>
  <si>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</si>
  <si>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Max. 30</t>
  </si>
  <si>
    <t>STOP</t>
  </si>
  <si>
    <t>documentation du projet</t>
  </si>
  <si>
    <t>DB</t>
  </si>
  <si>
    <t>IceScrum</t>
  </si>
  <si>
    <t xml:space="preserve">création du projet sur IceScrum </t>
  </si>
  <si>
    <t>explication du projet</t>
  </si>
  <si>
    <t xml:space="preserve">Commencement du MCD </t>
  </si>
  <si>
    <t>Explication du projet côté base de donnée</t>
  </si>
  <si>
    <t>POO</t>
  </si>
  <si>
    <t xml:space="preserve">Journal de travail </t>
  </si>
  <si>
    <t xml:space="preserve">Planning </t>
  </si>
  <si>
    <t xml:space="preserve">Db </t>
  </si>
  <si>
    <t xml:space="preserve">Faire le MCD </t>
  </si>
  <si>
    <t>UX</t>
  </si>
  <si>
    <t xml:space="preserve">faire les mouvement du joueur </t>
  </si>
  <si>
    <t xml:space="preserve">Finir le MCD </t>
  </si>
  <si>
    <t>créer la base de donnée</t>
  </si>
  <si>
    <t>Finir l'interface d'acceuil du programme</t>
  </si>
  <si>
    <t>finir les mouvement du joueur</t>
  </si>
  <si>
    <t>faire l'interface d'acceuil du programme</t>
  </si>
  <si>
    <t xml:space="preserve">commencer l'interface d'acceuil de l'application </t>
  </si>
  <si>
    <t>Faire l'interface des niveaux</t>
  </si>
  <si>
    <t>faire les interface des niveaux</t>
  </si>
  <si>
    <t>faire l'interface des niveaux</t>
  </si>
  <si>
    <t xml:space="preserve">faire les mouvements des enemis </t>
  </si>
  <si>
    <t xml:space="preserve">faire le mouvement des enemis </t>
  </si>
  <si>
    <t>Faire les apparition des obstacles</t>
  </si>
  <si>
    <t>finir de créer la DB</t>
  </si>
  <si>
    <t>finir le rapport</t>
  </si>
  <si>
    <t>finir l'interface des niveaux</t>
  </si>
  <si>
    <t>finir le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</si>
</sst>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/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10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13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14</v>
      </c>
      <c r="C20" s="80" t="s">
        <v>15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17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19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20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21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22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23</v>
      </c>
      <c r="C2" s="15" t="s">
        <v>24</v>
      </c>
    </row>
    <row r="3" spans="1:4" ht="19.5" customHeight="1" x14ac:dyDescent="0.25">
      <c r="A3" s="19"/>
      <c r="B3" s="95" t="s">
        <v>15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25</v>
      </c>
      <c r="C3" s="27">
        <v>0</v>
      </c>
    </row>
    <row r="4" spans="2:3" ht="18.75" thickBot="1" x14ac:dyDescent="0.3">
      <c r="B4" s="26" t="s">
        <v>26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27</v>
      </c>
      <c r="B1" s="7">
        <v>1</v>
      </c>
      <c r="C1" s="17"/>
      <c r="D1" s="85"/>
    </row>
    <row r="2" spans="1:4" ht="27.75" thickBot="1" x14ac:dyDescent="0.3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A49FC-AF74-48A6-A4A9-1DEB2BCF7EBA}">
  <sheetPr codeName="Feuil5"/>
  <dimension ref="A1:H113"/>
  <sheetViews>
    <sheetView tabSelected="1" workbookViewId="0">
      <selection activeCell="I10" sqref="I1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27</v>
      </c>
      <c r="B1" s="7">
        <v>1</v>
      </c>
      <c r="C1" s="17"/>
      <c r="D1" s="85"/>
    </row>
    <row r="2" spans="1:4" ht="27.75" thickBot="1" x14ac:dyDescent="0.3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 ht="27" x14ac:dyDescent="0.25">
      <c r="A3" s="88" t="s">
        <v>18</v>
      </c>
      <c r="B3" s="4">
        <v>3</v>
      </c>
      <c r="C3" s="89"/>
      <c r="D3" s="9"/>
    </row>
    <row r="4" spans="1:4" s="52" customFormat="1" ht="27" x14ac:dyDescent="0.25">
      <c r="A4" s="91" t="s">
        <v>36</v>
      </c>
      <c r="B4" s="2">
        <v>3</v>
      </c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32</v>
      </c>
      <c r="B13" s="12">
        <f>SUM(B3:B12)</f>
        <v>6</v>
      </c>
      <c r="C13" s="86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27</v>
      </c>
      <c r="B15" s="7">
        <v>2</v>
      </c>
      <c r="C15" s="17"/>
      <c r="D15" s="85"/>
    </row>
    <row r="16" spans="1:4" ht="27.75" thickBot="1" x14ac:dyDescent="0.3">
      <c r="A16" s="8" t="s">
        <v>28</v>
      </c>
      <c r="B16" s="18" t="s">
        <v>29</v>
      </c>
      <c r="C16" s="8" t="s">
        <v>30</v>
      </c>
      <c r="D16" s="8" t="s">
        <v>31</v>
      </c>
    </row>
    <row r="17" spans="1:8" x14ac:dyDescent="0.25">
      <c r="A17" s="88" t="s">
        <v>46</v>
      </c>
      <c r="B17" s="4"/>
      <c r="C17" s="9"/>
      <c r="D17" s="9"/>
    </row>
    <row r="18" spans="1:8" x14ac:dyDescent="0.25">
      <c r="A18" s="91" t="s">
        <v>47</v>
      </c>
      <c r="B18" s="2"/>
      <c r="C18" s="10"/>
      <c r="D18" s="10"/>
    </row>
    <row r="19" spans="1:8" x14ac:dyDescent="0.25">
      <c r="A19" s="91" t="s">
        <v>48</v>
      </c>
      <c r="B19" s="2"/>
      <c r="C19" s="10"/>
      <c r="D19" s="10"/>
    </row>
    <row r="20" spans="1:8" ht="12.75" customHeight="1" x14ac:dyDescent="0.25">
      <c r="A20" s="91" t="s">
        <v>55</v>
      </c>
      <c r="B20" s="2"/>
      <c r="C20" s="10"/>
      <c r="D20" s="10"/>
      <c r="F20" s="31"/>
      <c r="G20" s="32"/>
      <c r="H20" s="33"/>
    </row>
    <row r="21" spans="1:8" ht="15" x14ac:dyDescent="0.25">
      <c r="A21" s="91" t="s">
        <v>43</v>
      </c>
      <c r="B21" s="2"/>
      <c r="C21" s="10"/>
      <c r="D21" s="10"/>
      <c r="F21" s="34"/>
      <c r="G21" s="30"/>
      <c r="H21" s="30"/>
    </row>
    <row r="22" spans="1:8" ht="27" x14ac:dyDescent="0.25">
      <c r="A22" s="91" t="s">
        <v>49</v>
      </c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32</v>
      </c>
      <c r="B27" s="12">
        <f>SUM(B17:B26)</f>
        <v>0</v>
      </c>
      <c r="C27" s="86" t="s">
        <v>34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27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28</v>
      </c>
      <c r="B30" s="18" t="s">
        <v>29</v>
      </c>
      <c r="C30" s="8" t="s">
        <v>30</v>
      </c>
      <c r="D30" s="8" t="s">
        <v>31</v>
      </c>
      <c r="F30" s="38"/>
      <c r="G30" s="39"/>
      <c r="H30" s="39"/>
    </row>
    <row r="31" spans="1:8" ht="14.25" x14ac:dyDescent="0.3">
      <c r="A31" s="5" t="s">
        <v>46</v>
      </c>
      <c r="B31" s="4"/>
      <c r="C31" s="9"/>
      <c r="D31" s="9"/>
      <c r="F31" s="40"/>
      <c r="G31" s="40"/>
      <c r="H31" s="40"/>
    </row>
    <row r="32" spans="1:8" x14ac:dyDescent="0.25">
      <c r="A32" s="52" t="s">
        <v>47</v>
      </c>
      <c r="B32" s="2"/>
      <c r="C32" s="10"/>
      <c r="D32" s="10"/>
    </row>
    <row r="33" spans="1:4" x14ac:dyDescent="0.25">
      <c r="A33" s="91" t="s">
        <v>48</v>
      </c>
      <c r="B33" s="2"/>
      <c r="C33" s="10"/>
      <c r="D33" s="10"/>
    </row>
    <row r="34" spans="1:4" ht="40.5" x14ac:dyDescent="0.25">
      <c r="A34" s="91" t="s">
        <v>54</v>
      </c>
      <c r="B34" s="2"/>
      <c r="C34" s="10"/>
      <c r="D34" s="10"/>
    </row>
    <row r="35" spans="1:4" x14ac:dyDescent="0.25">
      <c r="A35" s="91" t="s">
        <v>43</v>
      </c>
      <c r="B35" s="2"/>
      <c r="C35" s="10"/>
      <c r="D35" s="10"/>
    </row>
    <row r="36" spans="1:4" ht="27" x14ac:dyDescent="0.25">
      <c r="A36" s="91" t="s">
        <v>49</v>
      </c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32</v>
      </c>
      <c r="B41" s="12">
        <f>SUM(B31:B40)</f>
        <v>0</v>
      </c>
      <c r="C41" s="86" t="s">
        <v>34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27</v>
      </c>
      <c r="B43" s="7">
        <v>4</v>
      </c>
      <c r="C43" s="17"/>
      <c r="D43" s="85"/>
    </row>
    <row r="44" spans="1:4" ht="27.75" thickBot="1" x14ac:dyDescent="0.3">
      <c r="A44" s="8" t="s">
        <v>28</v>
      </c>
      <c r="B44" s="18" t="s">
        <v>29</v>
      </c>
      <c r="C44" s="8" t="s">
        <v>30</v>
      </c>
      <c r="D44" s="8" t="s">
        <v>31</v>
      </c>
    </row>
    <row r="45" spans="1:4" x14ac:dyDescent="0.25">
      <c r="A45" s="88" t="s">
        <v>37</v>
      </c>
      <c r="B45" s="4"/>
      <c r="C45" s="9"/>
      <c r="D45" s="9"/>
    </row>
    <row r="46" spans="1:4" x14ac:dyDescent="0.25">
      <c r="A46" s="52" t="s">
        <v>47</v>
      </c>
      <c r="B46" s="2"/>
      <c r="C46" s="10"/>
      <c r="D46" s="10"/>
    </row>
    <row r="47" spans="1:4" x14ac:dyDescent="0.25">
      <c r="A47" s="91" t="s">
        <v>48</v>
      </c>
      <c r="B47" s="2"/>
      <c r="C47" s="10"/>
      <c r="D47" s="10"/>
    </row>
    <row r="48" spans="1:4" ht="40.5" x14ac:dyDescent="0.25">
      <c r="A48" s="91" t="s">
        <v>52</v>
      </c>
      <c r="B48" s="2"/>
      <c r="C48" s="10"/>
      <c r="D48" s="10"/>
    </row>
    <row r="49" spans="1:4" x14ac:dyDescent="0.25">
      <c r="A49" s="91" t="s">
        <v>43</v>
      </c>
      <c r="B49" s="2"/>
      <c r="C49" s="10"/>
      <c r="D49" s="10"/>
    </row>
    <row r="50" spans="1:4" ht="27" x14ac:dyDescent="0.25">
      <c r="A50" s="91" t="s">
        <v>53</v>
      </c>
      <c r="B50" s="2"/>
      <c r="C50" s="10"/>
      <c r="D50" s="92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32</v>
      </c>
      <c r="B55" s="12">
        <f>SUM(B45:B54)</f>
        <v>0</v>
      </c>
      <c r="C55" s="86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27</v>
      </c>
      <c r="B57" s="7">
        <v>5</v>
      </c>
      <c r="C57" s="17"/>
      <c r="D57" s="85"/>
    </row>
    <row r="58" spans="1:4" ht="27.75" thickBot="1" x14ac:dyDescent="0.3">
      <c r="A58" s="8" t="s">
        <v>28</v>
      </c>
      <c r="B58" s="18" t="s">
        <v>29</v>
      </c>
      <c r="C58" s="8" t="s">
        <v>30</v>
      </c>
      <c r="D58" s="8" t="s">
        <v>31</v>
      </c>
    </row>
    <row r="59" spans="1:4" x14ac:dyDescent="0.25">
      <c r="A59" s="88" t="s">
        <v>37</v>
      </c>
      <c r="B59" s="4"/>
      <c r="C59" s="9"/>
      <c r="D59" s="9"/>
    </row>
    <row r="60" spans="1:4" x14ac:dyDescent="0.25">
      <c r="A60" s="91" t="s">
        <v>50</v>
      </c>
      <c r="B60" s="2"/>
      <c r="C60" s="10"/>
      <c r="D60" s="10"/>
    </row>
    <row r="61" spans="1:4" x14ac:dyDescent="0.25">
      <c r="A61" s="91" t="s">
        <v>48</v>
      </c>
      <c r="B61" s="2"/>
      <c r="C61" s="10"/>
      <c r="D61" s="10"/>
    </row>
    <row r="62" spans="1:4" ht="27" x14ac:dyDescent="0.25">
      <c r="A62" s="91" t="s">
        <v>56</v>
      </c>
      <c r="B62" s="2"/>
      <c r="C62" s="52"/>
      <c r="D62" s="10"/>
    </row>
    <row r="63" spans="1:4" x14ac:dyDescent="0.25">
      <c r="A63" s="91" t="s">
        <v>43</v>
      </c>
      <c r="B63" s="2"/>
      <c r="C63" s="10"/>
      <c r="D63" s="10"/>
    </row>
    <row r="64" spans="1:4" ht="27" x14ac:dyDescent="0.25">
      <c r="A64" s="91" t="s">
        <v>59</v>
      </c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32</v>
      </c>
      <c r="B69" s="12">
        <f>SUM(B59:B68)</f>
        <v>0</v>
      </c>
      <c r="C69" s="86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27</v>
      </c>
      <c r="B71" s="7">
        <v>6</v>
      </c>
      <c r="C71" s="17"/>
      <c r="D71" s="85"/>
    </row>
    <row r="72" spans="1:4" ht="27.75" thickBot="1" x14ac:dyDescent="0.3">
      <c r="A72" s="8" t="s">
        <v>28</v>
      </c>
      <c r="B72" s="18" t="s">
        <v>29</v>
      </c>
      <c r="C72" s="8" t="s">
        <v>30</v>
      </c>
      <c r="D72" s="8" t="s">
        <v>31</v>
      </c>
    </row>
    <row r="73" spans="1:4" x14ac:dyDescent="0.25">
      <c r="A73" s="88" t="s">
        <v>37</v>
      </c>
      <c r="B73" s="4"/>
      <c r="C73" s="9"/>
      <c r="D73" s="9"/>
    </row>
    <row r="74" spans="1:4" ht="27" x14ac:dyDescent="0.25">
      <c r="A74" s="91" t="s">
        <v>51</v>
      </c>
      <c r="B74" s="2"/>
      <c r="C74" s="10"/>
      <c r="D74" s="10"/>
    </row>
    <row r="75" spans="1:4" x14ac:dyDescent="0.25">
      <c r="A75" s="91" t="s">
        <v>48</v>
      </c>
      <c r="B75" s="2"/>
      <c r="C75" s="10"/>
      <c r="D75" s="10"/>
    </row>
    <row r="76" spans="1:4" ht="27" x14ac:dyDescent="0.25">
      <c r="A76" s="91" t="s">
        <v>57</v>
      </c>
      <c r="B76" s="2"/>
      <c r="C76" s="10"/>
      <c r="D76" s="10"/>
    </row>
    <row r="77" spans="1:4" x14ac:dyDescent="0.25">
      <c r="A77" s="91" t="s">
        <v>43</v>
      </c>
      <c r="B77" s="2"/>
      <c r="C77" s="10"/>
      <c r="D77" s="10"/>
    </row>
    <row r="78" spans="1:4" ht="27" x14ac:dyDescent="0.25">
      <c r="A78" s="91" t="s">
        <v>60</v>
      </c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32</v>
      </c>
      <c r="B83" s="12">
        <f>SUM(B73:B82)</f>
        <v>0</v>
      </c>
      <c r="C83" s="86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27</v>
      </c>
      <c r="B85" s="7">
        <v>7</v>
      </c>
      <c r="C85" s="17"/>
      <c r="D85" s="85"/>
    </row>
    <row r="86" spans="1:4" ht="27.75" thickBot="1" x14ac:dyDescent="0.3">
      <c r="A86" s="8" t="s">
        <v>28</v>
      </c>
      <c r="B86" s="18" t="s">
        <v>29</v>
      </c>
      <c r="C86" s="8" t="s">
        <v>30</v>
      </c>
      <c r="D86" s="8" t="s">
        <v>31</v>
      </c>
    </row>
    <row r="87" spans="1:4" x14ac:dyDescent="0.25">
      <c r="A87" s="88" t="s">
        <v>37</v>
      </c>
      <c r="B87" s="4"/>
      <c r="C87" s="9"/>
      <c r="D87" s="9"/>
    </row>
    <row r="88" spans="1:4" x14ac:dyDescent="0.25">
      <c r="A88" s="91" t="s">
        <v>62</v>
      </c>
      <c r="B88" s="2"/>
      <c r="C88" s="10"/>
      <c r="D88" s="10"/>
    </row>
    <row r="89" spans="1:4" x14ac:dyDescent="0.25">
      <c r="A89" s="91" t="s">
        <v>48</v>
      </c>
      <c r="B89" s="2"/>
      <c r="C89" s="10"/>
      <c r="D89" s="10"/>
    </row>
    <row r="90" spans="1:4" ht="27" x14ac:dyDescent="0.25">
      <c r="A90" s="91" t="s">
        <v>58</v>
      </c>
      <c r="B90" s="2"/>
      <c r="C90" s="10"/>
      <c r="D90" s="10"/>
    </row>
    <row r="91" spans="1:4" x14ac:dyDescent="0.25">
      <c r="A91" s="91" t="s">
        <v>43</v>
      </c>
      <c r="B91" s="2"/>
      <c r="C91" s="10"/>
      <c r="D91" s="10"/>
    </row>
    <row r="92" spans="1:4" ht="27" x14ac:dyDescent="0.25">
      <c r="A92" s="91" t="s">
        <v>61</v>
      </c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32</v>
      </c>
      <c r="B97" s="12">
        <f>SUM(B87:B96)</f>
        <v>0</v>
      </c>
      <c r="C97" s="86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27</v>
      </c>
      <c r="B99" s="7">
        <v>8</v>
      </c>
      <c r="C99" s="17"/>
      <c r="D99" s="85"/>
    </row>
    <row r="100" spans="1:4" ht="27.75" thickBot="1" x14ac:dyDescent="0.3">
      <c r="A100" s="8" t="s">
        <v>28</v>
      </c>
      <c r="B100" s="18" t="s">
        <v>29</v>
      </c>
      <c r="C100" s="8" t="s">
        <v>30</v>
      </c>
      <c r="D100" s="8" t="s">
        <v>31</v>
      </c>
    </row>
    <row r="101" spans="1:4" x14ac:dyDescent="0.25">
      <c r="A101" s="88" t="s">
        <v>37</v>
      </c>
      <c r="B101" s="4"/>
      <c r="C101" s="9"/>
      <c r="D101" s="9"/>
    </row>
    <row r="102" spans="1:4" x14ac:dyDescent="0.25">
      <c r="A102" s="91" t="s">
        <v>63</v>
      </c>
      <c r="B102" s="2"/>
      <c r="C102" s="10"/>
      <c r="D102" s="10"/>
    </row>
    <row r="103" spans="1:4" x14ac:dyDescent="0.25">
      <c r="A103" s="91" t="s">
        <v>48</v>
      </c>
      <c r="B103" s="2"/>
      <c r="C103" s="10"/>
      <c r="D103" s="10"/>
    </row>
    <row r="104" spans="1:4" ht="27" x14ac:dyDescent="0.25">
      <c r="A104" s="91" t="s">
        <v>64</v>
      </c>
      <c r="B104" s="2"/>
      <c r="C104" s="10"/>
      <c r="D104" s="10"/>
    </row>
    <row r="105" spans="1:4" x14ac:dyDescent="0.25">
      <c r="A105" s="91" t="s">
        <v>43</v>
      </c>
      <c r="B105" s="2"/>
      <c r="C105" s="10"/>
      <c r="D105" s="10"/>
    </row>
    <row r="106" spans="1:4" x14ac:dyDescent="0.25">
      <c r="A106" s="91" t="s">
        <v>65</v>
      </c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32</v>
      </c>
      <c r="B111" s="12">
        <f>SUM(B101:B110)</f>
        <v>0</v>
      </c>
      <c r="C111" s="86" t="s">
        <v>34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87:A96 A101:A110 A73:A82 A31 A33:A40 A45 A47:A54 A62 A59:A61 A63:A68" xr:uid="{B5505C43-6F19-4128-BD6D-8630E74C81CC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905FA90E-9423-4EC7-9CD5-78E0C7ECE379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DB179A36-F6A6-428D-AA91-F2C3408DD914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3213369-39F9-49BB-AE79-6A35483EB65D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/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42741-B4AF-4C71-B052-883846F9DD5E}">
  <sheetPr codeName="Feuil9"/>
  <dimension ref="A1:H153"/>
  <sheetViews>
    <sheetView workbookViewId="0">
      <selection activeCell="C9" sqref="C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>
        <f>Donnees!$C$9</f>
        <v>45532</v>
      </c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88" t="s">
        <v>37</v>
      </c>
      <c r="B3" s="4"/>
      <c r="C3" s="9"/>
      <c r="D3" s="9"/>
    </row>
    <row r="4" spans="1:4" s="52" customFormat="1" x14ac:dyDescent="0.25">
      <c r="A4" s="91" t="s">
        <v>38</v>
      </c>
      <c r="B4" s="2">
        <v>4</v>
      </c>
      <c r="C4" s="92" t="s">
        <v>39</v>
      </c>
      <c r="D4" s="10"/>
    </row>
    <row r="5" spans="1:4" s="52" customFormat="1" x14ac:dyDescent="0.25">
      <c r="A5" s="1" t="s">
        <v>19</v>
      </c>
      <c r="B5" s="2">
        <v>1</v>
      </c>
      <c r="C5" s="92" t="s">
        <v>41</v>
      </c>
      <c r="D5" s="10"/>
    </row>
    <row r="6" spans="1:4" s="52" customFormat="1" x14ac:dyDescent="0.25">
      <c r="A6" s="91" t="s">
        <v>40</v>
      </c>
      <c r="B6" s="2">
        <v>4</v>
      </c>
      <c r="C6" s="92" t="s">
        <v>42</v>
      </c>
      <c r="D6" s="10"/>
    </row>
    <row r="7" spans="1:4" s="52" customFormat="1" x14ac:dyDescent="0.25">
      <c r="A7" s="91" t="s">
        <v>43</v>
      </c>
      <c r="B7" s="2"/>
      <c r="C7" s="10"/>
      <c r="D7" s="10"/>
    </row>
    <row r="8" spans="1:4" s="52" customFormat="1" x14ac:dyDescent="0.25">
      <c r="A8" s="91" t="s">
        <v>44</v>
      </c>
      <c r="B8" s="2">
        <v>2</v>
      </c>
      <c r="C8" s="10"/>
      <c r="D8" s="10"/>
    </row>
    <row r="9" spans="1:4" s="52" customFormat="1" x14ac:dyDescent="0.25">
      <c r="A9" s="91" t="s">
        <v>45</v>
      </c>
      <c r="B9" s="2">
        <v>1</v>
      </c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12</v>
      </c>
      <c r="C18" s="90" t="s">
        <v>34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27</v>
      </c>
      <c r="B20" s="43">
        <v>2</v>
      </c>
      <c r="C20" s="44" t="s">
        <v>33</v>
      </c>
      <c r="D20" s="53">
        <f>$D$1+7</f>
        <v>45539</v>
      </c>
    </row>
    <row r="21" spans="1:8" ht="27.75" thickBot="1" x14ac:dyDescent="0.3">
      <c r="A21" s="45" t="s">
        <v>28</v>
      </c>
      <c r="B21" s="46" t="s">
        <v>29</v>
      </c>
      <c r="C21" s="45" t="s">
        <v>30</v>
      </c>
      <c r="D21" s="45" t="s">
        <v>31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32</v>
      </c>
      <c r="B37" s="47">
        <f>SUM(B22:B36)</f>
        <v>0</v>
      </c>
      <c r="C37" s="90" t="s">
        <v>34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27</v>
      </c>
      <c r="B39" s="43">
        <v>3</v>
      </c>
      <c r="C39" s="44" t="s">
        <v>33</v>
      </c>
      <c r="D39" s="53">
        <f>$D$20+7</f>
        <v>45546</v>
      </c>
    </row>
    <row r="40" spans="1:8" ht="27.75" thickBot="1" x14ac:dyDescent="0.3">
      <c r="A40" s="45" t="s">
        <v>28</v>
      </c>
      <c r="B40" s="46" t="s">
        <v>29</v>
      </c>
      <c r="C40" s="45" t="s">
        <v>30</v>
      </c>
      <c r="D40" s="45" t="s">
        <v>31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32</v>
      </c>
      <c r="B56" s="47">
        <f>SUM(B41:B55)</f>
        <v>0</v>
      </c>
      <c r="C56" s="90" t="s">
        <v>34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27</v>
      </c>
      <c r="B58" s="43">
        <v>4</v>
      </c>
      <c r="C58" s="44" t="s">
        <v>33</v>
      </c>
      <c r="D58" s="53">
        <f>$D$39+7</f>
        <v>45553</v>
      </c>
    </row>
    <row r="59" spans="1:4" ht="27.75" thickBot="1" x14ac:dyDescent="0.3">
      <c r="A59" s="45" t="s">
        <v>28</v>
      </c>
      <c r="B59" s="46" t="s">
        <v>29</v>
      </c>
      <c r="C59" s="45" t="s">
        <v>30</v>
      </c>
      <c r="D59" s="45" t="s">
        <v>31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32</v>
      </c>
      <c r="B75" s="47">
        <f>SUM(B60:B74)</f>
        <v>0</v>
      </c>
      <c r="C75" s="90" t="s">
        <v>34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27</v>
      </c>
      <c r="B77" s="43">
        <v>5</v>
      </c>
      <c r="C77" s="44" t="s">
        <v>33</v>
      </c>
      <c r="D77" s="53">
        <f>$D$58+7</f>
        <v>45560</v>
      </c>
    </row>
    <row r="78" spans="1:4" ht="27.75" thickBot="1" x14ac:dyDescent="0.3">
      <c r="A78" s="45" t="s">
        <v>28</v>
      </c>
      <c r="B78" s="46" t="s">
        <v>29</v>
      </c>
      <c r="C78" s="45" t="s">
        <v>30</v>
      </c>
      <c r="D78" s="45" t="s">
        <v>31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32</v>
      </c>
      <c r="B94" s="47">
        <f>SUM(B79:B93)</f>
        <v>0</v>
      </c>
      <c r="C94" s="90" t="s">
        <v>34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27</v>
      </c>
      <c r="B96" s="43">
        <v>6</v>
      </c>
      <c r="C96" s="44" t="s">
        <v>33</v>
      </c>
      <c r="D96" s="53">
        <f>$D$77+7</f>
        <v>45567</v>
      </c>
    </row>
    <row r="97" spans="1:4" ht="27.75" thickBot="1" x14ac:dyDescent="0.3">
      <c r="A97" s="45" t="s">
        <v>28</v>
      </c>
      <c r="B97" s="46" t="s">
        <v>29</v>
      </c>
      <c r="C97" s="45" t="s">
        <v>30</v>
      </c>
      <c r="D97" s="45" t="s">
        <v>31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32</v>
      </c>
      <c r="B113" s="47">
        <f>SUM(B98:B112)</f>
        <v>0</v>
      </c>
      <c r="C113" s="90" t="s">
        <v>34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27</v>
      </c>
      <c r="B115" s="43">
        <v>7</v>
      </c>
      <c r="C115" s="44" t="s">
        <v>33</v>
      </c>
      <c r="D115" s="53">
        <f>$D$96+7</f>
        <v>45574</v>
      </c>
    </row>
    <row r="116" spans="1:4" ht="27.75" thickBot="1" x14ac:dyDescent="0.3">
      <c r="A116" s="45" t="s">
        <v>28</v>
      </c>
      <c r="B116" s="46" t="s">
        <v>29</v>
      </c>
      <c r="C116" s="45" t="s">
        <v>30</v>
      </c>
      <c r="D116" s="45" t="s">
        <v>31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32</v>
      </c>
      <c r="B132" s="47">
        <f>SUM(B117:B131)</f>
        <v>0</v>
      </c>
      <c r="C132" s="90" t="s">
        <v>34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27</v>
      </c>
      <c r="B134" s="43">
        <v>8</v>
      </c>
      <c r="C134" s="44" t="s">
        <v>33</v>
      </c>
      <c r="D134" s="53">
        <f>$D$115+7</f>
        <v>45581</v>
      </c>
    </row>
    <row r="135" spans="1:4" ht="27.75" thickBot="1" x14ac:dyDescent="0.3">
      <c r="A135" s="45" t="s">
        <v>28</v>
      </c>
      <c r="B135" s="46" t="s">
        <v>29</v>
      </c>
      <c r="C135" s="45" t="s">
        <v>30</v>
      </c>
      <c r="D135" s="45" t="s">
        <v>31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32</v>
      </c>
      <c r="B151" s="47">
        <f>SUM(B136:B150)</f>
        <v>0</v>
      </c>
      <c r="C151" s="90" t="s">
        <v>34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36C4E5D3-5576-4021-961F-9CF1443A468E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4D820017-C8A2-4089-999A-D03D8BFF423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ABE8E6C2-9FC7-46D7-8499-F8363236796F}">
      <formula1>0</formula1>
      <formula2>NbPerWeek * NbQuartPer</formula2>
    </dataValidation>
    <dataValidation type="list" allowBlank="1" showInputMessage="1" showErrorMessage="1" sqref="A3:A17 A22:A36 A41:A55 A60:A74 A79:A93 A98:A112 A117:A131 A136:A150" xr:uid="{E15C67D2-7754-48F8-A622-216F5E553A0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schemas.openxmlformats.org/package/2006/metadata/core-properties"/>
    <ds:schemaRef ds:uri="http://purl.org/dc/terms/"/>
    <ds:schemaRef ds:uri="bf2f2df3-a963-4452-b0e7-67dabc627c35"/>
    <ds:schemaRef ds:uri="http://schemas.microsoft.com/office/2006/metadata/properties"/>
    <ds:schemaRef ds:uri="http://schemas.microsoft.com/office/infopath/2007/PartnerControls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Antoine Jean Fabre</dc:creator>
  <cp:keywords/>
  <dc:description/>
  <cp:lastModifiedBy>Antoine Jean Fabre</cp:lastModifiedBy>
  <cp:revision/>
  <dcterms:created xsi:type="dcterms:W3CDTF">1996-10-21T11:03:58Z</dcterms:created>
  <dcterms:modified xsi:type="dcterms:W3CDTF">2024-08-30T14:32:00Z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